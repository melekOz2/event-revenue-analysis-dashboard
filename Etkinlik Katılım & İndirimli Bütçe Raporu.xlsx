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<sst xmlns="http://schemas.openxmlformats.org/spreadsheetml/2006/main" count="26" uniqueCount="25">
  <si>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Etkinlik</t>
  </si>
  <si>
    <t>Katılımcı Sayısı</t>
  </si>
  <si>
    <t>Kişi Başı Ücret (TL)</t>
  </si>
  <si>
    <t>İndirim (%)</t>
  </si>
  <si>
    <t>Net Ücret (TL)</t>
  </si>
  <si>
    <t>Toplam Gelir (TL)</t>
  </si>
  <si>
    <t>İndirimsiz Toplam Gelir</t>
  </si>
  <si>
    <t>Gelirlerin % lik Farkı</t>
  </si>
  <si>
    <t>Sosyal Medya Eğitimi</t>
  </si>
  <si>
    <t xml:space="preserve"> En Yüksek İndirim Oranı</t>
  </si>
  <si>
    <t>Ortalama Net Ücret</t>
  </si>
  <si>
    <t>En Fazla Gelir Getiren Etkinlik</t>
  </si>
  <si>
    <t>Canva Atölyesi</t>
  </si>
  <si>
    <t>Freelance Webinar</t>
  </si>
  <si>
    <t>Sunum Becerileri</t>
  </si>
  <si>
    <t>Cv Hazırlama Workshop</t>
  </si>
  <si>
    <t>Toplam</t>
  </si>
  <si>
    <t xml:space="preserve"> </t>
  </si>
  <si>
    <t xml:space="preserve">                                 📊 ETKİNLİK GELİR ANALİZİ DASHBOARD</t>
  </si>
  <si>
    <t>📊 En Karlı Etkinlik</t>
  </si>
  <si>
    <t>💰 İndirimlerden Kaybedilen Gelir</t>
  </si>
  <si>
    <t>1.545 TL</t>
  </si>
  <si>
    <t>📈 Analist Yorumu</t>
  </si>
  <si>
    <t>Freelance Webinar indirimlere rağmen en yüksek gelir düşüşünü gösteriyor.</t>
  </si>
  <si>
    <t>Bu nedenle hedeflenmiş pazarlama kampanyası veya paket promosyon katılımı artırabilir.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</si>
</sst>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8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  <xf borderId="0" fillId="0" fontId="2" numFmtId="1" xfId="0" applyFont="1" applyNumberFormat="1"/>
    <xf borderId="0" fillId="0" fontId="3" numFmtId="0" xfId="0" applyAlignment="1" applyFont="1">
      <alignment horizontal="center" readingOrder="0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2" numFmtId="1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3" fontId="2" numFmtId="0" xfId="0" applyFill="1" applyFont="1"/>
    <xf borderId="4" fillId="0" fontId="2" numFmtId="0" xfId="0" applyBorder="1" applyFont="1"/>
    <xf borderId="0" fillId="2" fontId="1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6" numFmtId="1" xfId="0" applyAlignment="1" applyFont="1" applyNumberForma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7" numFmtId="9" xfId="0" applyAlignment="1" applyFont="1" applyNumberFormat="1">
      <alignment horizontal="right" vertical="bottom"/>
    </xf>
    <xf borderId="0" fillId="3" fontId="7" numFmtId="1" xfId="0" applyAlignment="1" applyFont="1" applyNumberFormat="1">
      <alignment horizontal="right" vertical="bottom"/>
    </xf>
    <xf borderId="0" fillId="3" fontId="7" numFmtId="1" xfId="0" applyAlignment="1" applyFont="1" applyNumberFormat="1">
      <alignment horizontal="right" readingOrder="0" vertical="bottom"/>
    </xf>
    <xf borderId="0" fillId="3" fontId="7" numFmtId="1" xfId="0" applyAlignment="1" applyFont="1" applyNumberFormat="1">
      <alignment vertical="bottom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ACC9FE"/>
          <bgColor rgb="FFACC9FE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heet1-style 2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Sheet1-style 3">
      <tableStyleElement dxfId="8" type="headerRow"/>
      <tableStyleElement dxfId="2" type="firstRowStripe"/>
      <tableStyleElement dxfId="9" type="secondRowStripe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GELİR DAĞILIMI (TL)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0000"/>
                      </a:solidFill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Sheet1!$A$2:$A$6</c:f>
            </c:strRef>
          </c:cat>
          <c:val>
            <c:numRef>
              <c:f>Sheet1!$F$2:$F$6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5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7" displayName="Table_1" name="Table_1" id="1">
  <tableColumns count="8">
    <tableColumn totalsRowLabel="Toplam" name="Etkinlik" id="1"/>
    <tableColumn name="Katılımcı Sayısı" id="2"/>
    <tableColumn name="Kişi Başı Ücret (TL)" id="3"/>
    <tableColumn name="İndirim (%)" id="4"/>
    <tableColumn name="Net Ücret (TL)" id="5"/>
    <tableColumn totalsRowFunction="custom" name="Toplam Gelir (TL)" id="6"/>
    <tableColumn totalsRowFunction="custom" name="İndirimsiz Toplam Gelir" id="7"/>
    <tableColumn totalsRowFunction="custom" name="Gelirlerin % lik Farkı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J2:L3" displayName="Table1" name="Table1" id="2">
  <tableColumns count="3">
    <tableColumn name=" En Yüksek İndirim Oranı" id="1"/>
    <tableColumn name="Ortalama Net Ücret" id="2"/>
    <tableColumn name="En Fazla Gelir Getiren Etkinlik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totalsRowCount="1" headerRowCount="0" ref="A18:H24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4.0"/>
    <col customWidth="1" min="3" max="3" width="16.63"/>
    <col customWidth="1" min="6" max="6" width="15.75"/>
    <col customWidth="1" min="7" max="7" width="20.25"/>
    <col customWidth="1" min="8" max="8" width="17.25"/>
    <col customWidth="1" min="10" max="10" width="31.75"/>
    <col customWidth="1" min="11" max="11" width="22.63"/>
    <col customWidth="1" min="12" max="12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>
        <v>40.0</v>
      </c>
      <c r="C2" s="2">
        <v>100.0</v>
      </c>
      <c r="D2" s="3">
        <v>0.1</v>
      </c>
      <c r="E2" s="2">
        <f t="shared" ref="E2:E6" si="1">C2*(1-D2)</f>
        <v>90</v>
      </c>
      <c r="F2" s="4">
        <f t="shared" ref="F2:F6" si="2">B2*E2</f>
        <v>3600</v>
      </c>
      <c r="G2" s="4">
        <f t="shared" ref="G2:G6" si="3">B2*C2</f>
        <v>4000</v>
      </c>
      <c r="H2" s="5">
        <f t="shared" ref="H2:H6" si="4">(G2-F2)/F2*100</f>
        <v>11.11111111</v>
      </c>
      <c r="J2" s="6" t="s">
        <v>9</v>
      </c>
      <c r="K2" s="6" t="s">
        <v>10</v>
      </c>
      <c r="L2" s="6" t="s">
        <v>11</v>
      </c>
    </row>
    <row r="3" ht="15.0" customHeight="1">
      <c r="A3" s="2" t="s">
        <v>12</v>
      </c>
      <c r="B3" s="2">
        <v>25.0</v>
      </c>
      <c r="C3" s="2">
        <v>120.0</v>
      </c>
      <c r="D3" s="3">
        <v>0.0</v>
      </c>
      <c r="E3" s="2">
        <f t="shared" si="1"/>
        <v>120</v>
      </c>
      <c r="F3" s="4">
        <f t="shared" si="2"/>
        <v>3000</v>
      </c>
      <c r="G3" s="4">
        <f t="shared" si="3"/>
        <v>3000</v>
      </c>
      <c r="H3" s="4">
        <f t="shared" si="4"/>
        <v>0</v>
      </c>
      <c r="J3" s="7">
        <f>MAX(D:D)</f>
        <v>0.2</v>
      </c>
      <c r="K3" s="8">
        <f>AVERAGE(E:E)</f>
        <v>83.8</v>
      </c>
      <c r="L3" s="9" t="str">
        <f t="array" ref="L3">INDEX(A2:A6,MATCH(MAX(F2:F6),F2:F6,0))</f>
        <v>Sosyal Medya Eğitimi</v>
      </c>
    </row>
    <row r="4">
      <c r="A4" s="2" t="s">
        <v>13</v>
      </c>
      <c r="B4" s="2">
        <v>50.0</v>
      </c>
      <c r="C4" s="2">
        <v>80.0</v>
      </c>
      <c r="D4" s="3">
        <v>0.2</v>
      </c>
      <c r="E4" s="2">
        <f t="shared" si="1"/>
        <v>64</v>
      </c>
      <c r="F4" s="4">
        <f t="shared" si="2"/>
        <v>3200</v>
      </c>
      <c r="G4" s="4">
        <f t="shared" si="3"/>
        <v>4000</v>
      </c>
      <c r="H4" s="4">
        <f t="shared" si="4"/>
        <v>25</v>
      </c>
    </row>
    <row r="5">
      <c r="A5" s="2" t="s">
        <v>14</v>
      </c>
      <c r="B5" s="2">
        <v>30.0</v>
      </c>
      <c r="C5" s="2">
        <v>90.0</v>
      </c>
      <c r="D5" s="3">
        <v>0.05</v>
      </c>
      <c r="E5" s="10">
        <f t="shared" si="1"/>
        <v>85.5</v>
      </c>
      <c r="F5" s="4">
        <f t="shared" si="2"/>
        <v>2565</v>
      </c>
      <c r="G5" s="4">
        <f t="shared" si="3"/>
        <v>2700</v>
      </c>
      <c r="H5" s="5">
        <f t="shared" si="4"/>
        <v>5.263157895</v>
      </c>
    </row>
    <row r="6">
      <c r="A6" s="2" t="s">
        <v>15</v>
      </c>
      <c r="B6" s="2">
        <v>20.0</v>
      </c>
      <c r="C6" s="2">
        <v>70.0</v>
      </c>
      <c r="D6" s="3">
        <v>0.15</v>
      </c>
      <c r="E6" s="10">
        <f t="shared" si="1"/>
        <v>59.5</v>
      </c>
      <c r="F6" s="4">
        <f t="shared" si="2"/>
        <v>1190</v>
      </c>
      <c r="G6" s="4">
        <f t="shared" si="3"/>
        <v>1400</v>
      </c>
      <c r="H6" s="5">
        <f t="shared" si="4"/>
        <v>17.64705882</v>
      </c>
    </row>
    <row r="7">
      <c r="A7" s="1" t="s">
        <v>16</v>
      </c>
      <c r="B7" s="4"/>
      <c r="C7" s="4"/>
      <c r="D7" s="4"/>
      <c r="E7" s="4"/>
      <c r="F7" s="4">
        <f t="shared" ref="F7:G7" si="5">SUM(F2:F6)</f>
        <v>13555</v>
      </c>
      <c r="G7" s="4">
        <f t="shared" si="5"/>
        <v>15100</v>
      </c>
      <c r="H7" s="5">
        <f>(G7-F7)/G7*100</f>
        <v>10.23178808</v>
      </c>
    </row>
    <row r="10">
      <c r="A10" s="11" t="s">
        <v>17</v>
      </c>
      <c r="B10" s="12"/>
      <c r="C10" s="13" t="s">
        <v>18</v>
      </c>
      <c r="D10" s="12"/>
      <c r="E10" s="12"/>
      <c r="F10" s="12"/>
      <c r="G10" s="12"/>
      <c r="H10" s="12"/>
    </row>
    <row r="11">
      <c r="E11" s="14"/>
    </row>
    <row r="12">
      <c r="L12" s="15"/>
    </row>
    <row r="13">
      <c r="B13" s="16" t="s">
        <v>19</v>
      </c>
      <c r="C13" s="17"/>
      <c r="E13" s="16" t="s">
        <v>20</v>
      </c>
      <c r="F13" s="17"/>
    </row>
    <row r="14">
      <c r="B14" s="18" t="s">
        <v>8</v>
      </c>
      <c r="C14" s="17"/>
      <c r="E14" s="18" t="s">
        <v>21</v>
      </c>
      <c r="F14" s="17"/>
    </row>
    <row r="15">
      <c r="A15" s="19"/>
      <c r="B15" s="14"/>
      <c r="C15" s="20"/>
      <c r="D15" s="14"/>
      <c r="E15" s="14"/>
      <c r="F15" s="14"/>
      <c r="G15" s="14"/>
    </row>
    <row r="16">
      <c r="B16" s="16" t="s">
        <v>22</v>
      </c>
      <c r="C16" s="17"/>
      <c r="D16" s="17"/>
      <c r="E16" s="17"/>
      <c r="F16" s="17"/>
    </row>
    <row r="17">
      <c r="B17" s="18" t="s">
        <v>23</v>
      </c>
      <c r="C17" s="17"/>
      <c r="D17" s="17"/>
      <c r="E17" s="17"/>
      <c r="F17" s="17"/>
    </row>
    <row r="18">
      <c r="A18" s="14"/>
      <c r="B18" s="18" t="s">
        <v>24</v>
      </c>
      <c r="C18" s="21"/>
      <c r="D18" s="21"/>
      <c r="E18" s="21"/>
      <c r="F18" s="21"/>
      <c r="G18" s="22"/>
      <c r="H18" s="23"/>
    </row>
    <row r="19">
      <c r="A19" s="24"/>
      <c r="B19" s="25"/>
      <c r="C19" s="25"/>
      <c r="D19" s="26"/>
      <c r="E19" s="27"/>
      <c r="F19" s="25"/>
      <c r="G19" s="25"/>
      <c r="H19" s="27"/>
    </row>
    <row r="20">
      <c r="A20" s="24"/>
      <c r="B20" s="25"/>
      <c r="C20" s="25"/>
      <c r="D20" s="26"/>
      <c r="E20" s="27"/>
      <c r="F20" s="25"/>
      <c r="G20" s="25"/>
      <c r="H20" s="27"/>
    </row>
    <row r="21">
      <c r="A21" s="24"/>
      <c r="B21" s="25"/>
      <c r="C21" s="25"/>
      <c r="D21" s="26"/>
      <c r="E21" s="28"/>
      <c r="F21" s="25"/>
      <c r="G21" s="25"/>
      <c r="H21" s="27"/>
    </row>
    <row r="22">
      <c r="A22" s="24"/>
      <c r="B22" s="25"/>
      <c r="C22" s="25"/>
      <c r="D22" s="26"/>
      <c r="E22" s="27"/>
      <c r="F22" s="25"/>
      <c r="G22" s="25"/>
      <c r="H22" s="27"/>
    </row>
    <row r="23">
      <c r="A23" s="24"/>
      <c r="B23" s="25"/>
      <c r="C23" s="25"/>
      <c r="D23" s="26"/>
      <c r="E23" s="27"/>
      <c r="F23" s="25"/>
      <c r="G23" s="25"/>
      <c r="H23" s="27"/>
    </row>
    <row r="24">
      <c r="A24" s="22"/>
      <c r="B24" s="24"/>
      <c r="C24" s="24"/>
      <c r="D24" s="24"/>
      <c r="E24" s="29"/>
      <c r="F24" s="25"/>
      <c r="G24" s="25"/>
      <c r="H24" s="27"/>
    </row>
  </sheetData>
  <conditionalFormatting sqref="J8">
    <cfRule type="notContainsBlanks" dxfId="11" priority="1">
      <formula>LEN(TRIM(J8))&gt;0</formula>
    </cfRule>
  </conditionalFormatting>
  <conditionalFormatting sqref="L17">
    <cfRule type="notContainsBlanks" dxfId="11" priority="2">
      <formula>LEN(TRIM(L17))&gt;0</formula>
    </cfRule>
  </conditionalFormatting>
  <dataValidations>
    <dataValidation type="custom" allowBlank="1" showDropDown="1" sqref="J3">
      <formula1>AND(ISNUMBER(J3),(NOT(OR(NOT(ISERROR(DATEVALUE(J3))), AND(ISNUMBER(J3), LEFT(CELL("format", J3))="D")))))</formula1>
    </dataValidation>
  </dataValidations>
  <drawing r:id="rId1"/>
  <tableParts count="3">
    <tablePart r:id="rId5"/>
    <tablePart r:id="rId6"/>
    <tablePart r:id="rId7"/>
  </tableParts>
</worksheet>
</file>